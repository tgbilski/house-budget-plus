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Targets" sheetId="1" state="visible" r:id="rId1"/>
    <sheet xmlns:r="http://schemas.openxmlformats.org/officeDocument/2006/relationships" name="Monthly Tracker" sheetId="2" state="visible" r:id="rId2"/>
    <sheet xmlns:r="http://schemas.openxmlformats.org/officeDocument/2006/relationships" name="Meal Planner &amp; List" sheetId="3" state="visible" r:id="rId3"/>
    <sheet xmlns:r="http://schemas.openxmlformats.org/officeDocument/2006/relationships" name="Pric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0000FF"/>
    </font>
    <font>
      <b val="1"/>
      <sz val="14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3" fillId="2" borderId="1" pivotButton="0" quotePrefix="0" xfId="0"/>
    <xf numFmtId="164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164" fontId="6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4" fontId="2" fillId="0" borderId="0" pivotButton="0" quotePrefix="0" xfId="0"/>
    <xf numFmtId="164" fontId="6" fillId="0" borderId="0" pivotButton="0" quotePrefix="0" xfId="0"/>
    <xf numFmtId="0" fontId="3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Grocery Budget Tracker — Setup</t>
        </is>
      </c>
    </row>
    <row r="3">
      <c r="A3" s="2" t="inlineStr">
        <is>
          <t>Enter your household info (yellow cells):</t>
        </is>
      </c>
    </row>
    <row r="4">
      <c r="A4" t="inlineStr">
        <is>
          <t>Adults</t>
        </is>
      </c>
      <c r="B4" s="3" t="n">
        <v>2</v>
      </c>
    </row>
    <row r="5">
      <c r="A5" t="inlineStr">
        <is>
          <t>Kids</t>
        </is>
      </c>
      <c r="B5" s="3" t="n">
        <v>0</v>
      </c>
    </row>
    <row r="6">
      <c r="A6" t="inlineStr">
        <is>
          <t>Monthly take-home income</t>
        </is>
      </c>
      <c r="B6" s="4" t="n">
        <v>5000</v>
      </c>
    </row>
    <row r="8">
      <c r="A8" t="inlineStr">
        <is>
          <t>Spending style (1=Thrifty, 2=Low-cost, 3=Moderate, 4=Liberal):</t>
        </is>
      </c>
      <c r="B8" s="3" t="n">
        <v>2</v>
      </c>
    </row>
    <row r="10">
      <c r="A10" s="2" t="inlineStr">
        <is>
          <t>Your monthly grocery budget:</t>
        </is>
      </c>
      <c r="B10" s="5">
        <f>B4*CHOOSE(B8,310,360,450,560)+B5*CHOOSE(B8,230,270,330,400)</f>
        <v/>
      </c>
    </row>
    <row r="11">
      <c r="A11" t="inlineStr">
        <is>
          <t>Weekly budget:</t>
        </is>
      </c>
      <c r="B11" s="6">
        <f>B10/4.33</f>
        <v/>
      </c>
    </row>
    <row r="12">
      <c r="A12" t="inlineStr">
        <is>
          <t>% of income:</t>
        </is>
      </c>
      <c r="B12" s="7">
        <f>IF(B6&gt;0,B10/B6,0)</f>
        <v/>
      </c>
    </row>
    <row r="14">
      <c r="A14" s="2" t="inlineStr">
        <is>
          <t>Category targets (auto-split of your budget):</t>
        </is>
      </c>
    </row>
    <row r="15">
      <c r="A15" s="8" t="inlineStr">
        <is>
          <t>Category</t>
        </is>
      </c>
      <c r="B15" s="8" t="inlineStr">
        <is>
          <t>Share</t>
        </is>
      </c>
      <c r="C15" s="8" t="inlineStr">
        <is>
          <t>Monthly target</t>
        </is>
      </c>
      <c r="D15" s="8" t="inlineStr">
        <is>
          <t>Weekly target</t>
        </is>
      </c>
    </row>
    <row r="16">
      <c r="A16" s="9" t="inlineStr">
        <is>
          <t>Produce</t>
        </is>
      </c>
      <c r="B16" s="10" t="n">
        <v>0.25</v>
      </c>
      <c r="C16" s="11">
        <f>$B$10*B16</f>
        <v/>
      </c>
      <c r="D16" s="11">
        <f>C16/4.33</f>
        <v/>
      </c>
    </row>
    <row r="17">
      <c r="A17" s="9" t="inlineStr">
        <is>
          <t>Meat &amp; protein</t>
        </is>
      </c>
      <c r="B17" s="10" t="n">
        <v>0.25</v>
      </c>
      <c r="C17" s="11">
        <f>$B$10*B17</f>
        <v/>
      </c>
      <c r="D17" s="11">
        <f>C17/4.33</f>
        <v/>
      </c>
    </row>
    <row r="18">
      <c r="A18" s="9" t="inlineStr">
        <is>
          <t>Dairy &amp; eggs</t>
        </is>
      </c>
      <c r="B18" s="10" t="n">
        <v>0.15</v>
      </c>
      <c r="C18" s="11">
        <f>$B$10*B18</f>
        <v/>
      </c>
      <c r="D18" s="11">
        <f>C18/4.33</f>
        <v/>
      </c>
    </row>
    <row r="19">
      <c r="A19" s="9" t="inlineStr">
        <is>
          <t>Pantry &amp; grains</t>
        </is>
      </c>
      <c r="B19" s="10" t="n">
        <v>0.2</v>
      </c>
      <c r="C19" s="11">
        <f>$B$10*B19</f>
        <v/>
      </c>
      <c r="D19" s="11">
        <f>C19/4.33</f>
        <v/>
      </c>
    </row>
    <row r="20">
      <c r="A20" s="9" t="inlineStr">
        <is>
          <t>Household &amp; misc</t>
        </is>
      </c>
      <c r="B20" s="10" t="n">
        <v>0.15</v>
      </c>
      <c r="C20" s="11">
        <f>$B$10*B20</f>
        <v/>
      </c>
      <c r="D20" s="11">
        <f>C20/4.33</f>
        <v/>
      </c>
    </row>
    <row r="23">
      <c r="A23" t="inlineStr">
        <is>
          <t>Source: USDA Food Plans average costs, 2026. Category splits are suggested starting points — edit column B to taste.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Monthly Grocery Tracker</t>
        </is>
      </c>
    </row>
    <row r="2">
      <c r="A2" t="inlineStr">
        <is>
          <t>Enter what you actually spend each month. Targets pull from Setup &amp; Targets.</t>
        </is>
      </c>
    </row>
    <row r="4">
      <c r="A4" s="8" t="inlineStr">
        <is>
          <t>Category</t>
        </is>
      </c>
      <c r="B4" s="8" t="inlineStr">
        <is>
          <t>Jan</t>
        </is>
      </c>
      <c r="C4" s="8" t="inlineStr">
        <is>
          <t>Feb</t>
        </is>
      </c>
      <c r="D4" s="8" t="inlineStr">
        <is>
          <t>Mar</t>
        </is>
      </c>
      <c r="E4" s="8" t="inlineStr">
        <is>
          <t>Apr</t>
        </is>
      </c>
      <c r="F4" s="8" t="inlineStr">
        <is>
          <t>May</t>
        </is>
      </c>
      <c r="G4" s="8" t="inlineStr">
        <is>
          <t>Jun</t>
        </is>
      </c>
      <c r="H4" s="8" t="inlineStr">
        <is>
          <t>Jul</t>
        </is>
      </c>
      <c r="I4" s="8" t="inlineStr">
        <is>
          <t>Aug</t>
        </is>
      </c>
      <c r="J4" s="8" t="inlineStr">
        <is>
          <t>Sep</t>
        </is>
      </c>
      <c r="K4" s="8" t="inlineStr">
        <is>
          <t>Oct</t>
        </is>
      </c>
      <c r="L4" s="8" t="inlineStr">
        <is>
          <t>Nov</t>
        </is>
      </c>
      <c r="M4" s="8" t="inlineStr">
        <is>
          <t>Dec</t>
        </is>
      </c>
      <c r="N4" s="8" t="inlineStr">
        <is>
          <t>Total</t>
        </is>
      </c>
      <c r="O4" s="8" t="inlineStr">
        <is>
          <t>Target</t>
        </is>
      </c>
      <c r="P4" s="8" t="inlineStr">
        <is>
          <t>Over/Under</t>
        </is>
      </c>
    </row>
    <row r="5">
      <c r="A5" s="9" t="inlineStr">
        <is>
          <t>Produce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1">
        <f>SUM(B5:M5)</f>
        <v/>
      </c>
      <c r="O5" s="13">
        <f>'Setup &amp; Targets'!C16*12</f>
        <v/>
      </c>
      <c r="P5" s="11">
        <f>N5-O5</f>
        <v/>
      </c>
    </row>
    <row r="6">
      <c r="A6" s="9" t="inlineStr">
        <is>
          <t>Meat &amp; protein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1">
        <f>SUM(B6:M6)</f>
        <v/>
      </c>
      <c r="O6" s="13">
        <f>'Setup &amp; Targets'!C17*12</f>
        <v/>
      </c>
      <c r="P6" s="11">
        <f>N6-O6</f>
        <v/>
      </c>
    </row>
    <row r="7">
      <c r="A7" s="9" t="inlineStr">
        <is>
          <t>Dairy &amp; eggs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1">
        <f>SUM(B7:M7)</f>
        <v/>
      </c>
      <c r="O7" s="13">
        <f>'Setup &amp; Targets'!C18*12</f>
        <v/>
      </c>
      <c r="P7" s="11">
        <f>N7-O7</f>
        <v/>
      </c>
    </row>
    <row r="8">
      <c r="A8" s="9" t="inlineStr">
        <is>
          <t>Pantry &amp; grains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1">
        <f>SUM(B8:M8)</f>
        <v/>
      </c>
      <c r="O8" s="13">
        <f>'Setup &amp; Targets'!C19*12</f>
        <v/>
      </c>
      <c r="P8" s="11">
        <f>N8-O8</f>
        <v/>
      </c>
    </row>
    <row r="9">
      <c r="A9" s="9" t="inlineStr">
        <is>
          <t>Household &amp; misc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1">
        <f>SUM(B9:M9)</f>
        <v/>
      </c>
      <c r="O9" s="13">
        <f>'Setup &amp; Targets'!C20*12</f>
        <v/>
      </c>
      <c r="P9" s="11">
        <f>N9-O9</f>
        <v/>
      </c>
    </row>
    <row r="10">
      <c r="A10" s="14" t="inlineStr">
        <is>
          <t>TOTAL</t>
        </is>
      </c>
      <c r="B10" s="15">
        <f>SUM(B5:B9)</f>
        <v/>
      </c>
      <c r="C10" s="15">
        <f>SUM(C5:C9)</f>
        <v/>
      </c>
      <c r="D10" s="15">
        <f>SUM(D5:D9)</f>
        <v/>
      </c>
      <c r="E10" s="15">
        <f>SUM(E5:E9)</f>
        <v/>
      </c>
      <c r="F10" s="15">
        <f>SUM(F5:F9)</f>
        <v/>
      </c>
      <c r="G10" s="15">
        <f>SUM(G5:G9)</f>
        <v/>
      </c>
      <c r="H10" s="15">
        <f>SUM(H5:H9)</f>
        <v/>
      </c>
      <c r="I10" s="15">
        <f>SUM(I5:I9)</f>
        <v/>
      </c>
      <c r="J10" s="15">
        <f>SUM(J5:J9)</f>
        <v/>
      </c>
      <c r="K10" s="15">
        <f>SUM(K5:K9)</f>
        <v/>
      </c>
      <c r="L10" s="15">
        <f>SUM(L5:L9)</f>
        <v/>
      </c>
      <c r="M10" s="15">
        <f>SUM(M5:M9)</f>
        <v/>
      </c>
      <c r="N10" s="15">
        <f>SUM(N5:N9)</f>
        <v/>
      </c>
      <c r="O10" s="15">
        <f>SUM(O5:O9)</f>
        <v/>
      </c>
      <c r="P10" s="15">
        <f>SUM(P5:P9)</f>
        <v/>
      </c>
    </row>
    <row r="12">
      <c r="A12" t="inlineStr">
        <is>
          <t>Tip: a quick way to fill this in — snap a photo of receipts weekly and jot the category totals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Weekly Meal Planner + Shopping List</t>
        </is>
      </c>
    </row>
    <row r="3">
      <c r="A3" s="8" t="inlineStr">
        <is>
          <t>Day</t>
        </is>
      </c>
      <c r="B3" s="8" t="inlineStr">
        <is>
          <t>Breakfast</t>
        </is>
      </c>
      <c r="C3" s="8" t="inlineStr">
        <is>
          <t>Lunch</t>
        </is>
      </c>
      <c r="D3" s="8" t="inlineStr">
        <is>
          <t>Dinner</t>
        </is>
      </c>
    </row>
    <row r="4">
      <c r="A4" s="14" t="inlineStr">
        <is>
          <t>Monday</t>
        </is>
      </c>
      <c r="B4" s="9" t="n"/>
      <c r="C4" s="9" t="n"/>
      <c r="D4" s="9" t="n"/>
    </row>
    <row r="5">
      <c r="A5" s="14" t="inlineStr">
        <is>
          <t>Tuesday</t>
        </is>
      </c>
      <c r="B5" s="9" t="n"/>
      <c r="C5" s="9" t="n"/>
      <c r="D5" s="9" t="n"/>
    </row>
    <row r="6">
      <c r="A6" s="14" t="inlineStr">
        <is>
          <t>Wednesday</t>
        </is>
      </c>
      <c r="B6" s="9" t="n"/>
      <c r="C6" s="9" t="n"/>
      <c r="D6" s="9" t="n"/>
    </row>
    <row r="7">
      <c r="A7" s="14" t="inlineStr">
        <is>
          <t>Thursday</t>
        </is>
      </c>
      <c r="B7" s="9" t="n"/>
      <c r="C7" s="9" t="n"/>
      <c r="D7" s="9" t="n"/>
    </row>
    <row r="8">
      <c r="A8" s="14" t="inlineStr">
        <is>
          <t>Friday</t>
        </is>
      </c>
      <c r="B8" s="9" t="n"/>
      <c r="C8" s="9" t="n"/>
      <c r="D8" s="9" t="n"/>
    </row>
    <row r="9">
      <c r="A9" s="14" t="inlineStr">
        <is>
          <t>Saturday</t>
        </is>
      </c>
      <c r="B9" s="9" t="n"/>
      <c r="C9" s="9" t="n"/>
      <c r="D9" s="9" t="n"/>
    </row>
    <row r="10">
      <c r="A10" s="14" t="inlineStr">
        <is>
          <t>Sunday</t>
        </is>
      </c>
      <c r="B10" s="9" t="n"/>
      <c r="C10" s="9" t="n"/>
      <c r="D10" s="9" t="n"/>
    </row>
    <row r="13">
      <c r="A13" s="8" t="inlineStr">
        <is>
          <t>Shopping list item</t>
        </is>
      </c>
      <c r="B13" s="8" t="inlineStr">
        <is>
          <t>Category</t>
        </is>
      </c>
      <c r="C13" s="8" t="inlineStr">
        <is>
          <t>Est. price</t>
        </is>
      </c>
    </row>
    <row r="14">
      <c r="A14" s="9" t="n"/>
      <c r="B14" s="9" t="n"/>
      <c r="C14" s="12" t="n"/>
    </row>
    <row r="15">
      <c r="A15" s="9" t="n"/>
      <c r="B15" s="9" t="n"/>
      <c r="C15" s="12" t="n"/>
    </row>
    <row r="16">
      <c r="A16" s="9" t="n"/>
      <c r="B16" s="9" t="n"/>
      <c r="C16" s="12" t="n"/>
    </row>
    <row r="17">
      <c r="A17" s="9" t="n"/>
      <c r="B17" s="9" t="n"/>
      <c r="C17" s="12" t="n"/>
    </row>
    <row r="18">
      <c r="A18" s="9" t="n"/>
      <c r="B18" s="9" t="n"/>
      <c r="C18" s="12" t="n"/>
    </row>
    <row r="19">
      <c r="A19" s="9" t="n"/>
      <c r="B19" s="9" t="n"/>
      <c r="C19" s="12" t="n"/>
    </row>
    <row r="20">
      <c r="A20" s="9" t="n"/>
      <c r="B20" s="9" t="n"/>
      <c r="C20" s="12" t="n"/>
    </row>
    <row r="21">
      <c r="A21" s="9" t="n"/>
      <c r="B21" s="9" t="n"/>
      <c r="C21" s="12" t="n"/>
    </row>
    <row r="22">
      <c r="A22" s="9" t="n"/>
      <c r="B22" s="9" t="n"/>
      <c r="C22" s="12" t="n"/>
    </row>
    <row r="23">
      <c r="A23" s="9" t="n"/>
      <c r="B23" s="9" t="n"/>
      <c r="C23" s="12" t="n"/>
    </row>
    <row r="24">
      <c r="A24" s="9" t="n"/>
      <c r="B24" s="9" t="n"/>
      <c r="C24" s="12" t="n"/>
    </row>
    <row r="25">
      <c r="A25" s="9" t="n"/>
      <c r="B25" s="9" t="n"/>
      <c r="C25" s="12" t="n"/>
    </row>
    <row r="26">
      <c r="A26" s="9" t="n"/>
      <c r="B26" s="9" t="n"/>
      <c r="C26" s="12" t="n"/>
    </row>
    <row r="27">
      <c r="A27" s="9" t="n"/>
      <c r="B27" s="9" t="n"/>
      <c r="C27" s="12" t="n"/>
    </row>
    <row r="28">
      <c r="A28" s="9" t="n"/>
      <c r="B28" s="9" t="n"/>
      <c r="C28" s="12" t="n"/>
    </row>
    <row r="29">
      <c r="A29" s="9" t="n"/>
      <c r="B29" s="9" t="n"/>
      <c r="C29" s="12" t="n"/>
    </row>
    <row r="30">
      <c r="A30" s="9" t="n"/>
      <c r="B30" s="9" t="n"/>
      <c r="C30" s="12" t="n"/>
    </row>
    <row r="31">
      <c r="A31" s="9" t="n"/>
      <c r="B31" s="9" t="n"/>
      <c r="C31" s="12" t="n"/>
    </row>
    <row r="32">
      <c r="A32" s="9" t="n"/>
      <c r="B32" s="9" t="n"/>
      <c r="C32" s="12" t="n"/>
    </row>
    <row r="33">
      <c r="A33" s="9" t="n"/>
      <c r="B33" s="9" t="n"/>
      <c r="C33" s="12" t="n"/>
    </row>
    <row r="35">
      <c r="A35" s="2" t="inlineStr">
        <is>
          <t>Estimated list total:</t>
        </is>
      </c>
      <c r="C35" s="16">
        <f>SUM(C14:C33)</f>
        <v/>
      </c>
    </row>
    <row r="36">
      <c r="A36" t="inlineStr">
        <is>
          <t>Weekly budget (from Setup):</t>
        </is>
      </c>
      <c r="C36" s="17">
        <f>'Setup &amp; Targets'!B11</f>
        <v/>
      </c>
    </row>
    <row r="37">
      <c r="A37" t="inlineStr">
        <is>
          <t>Remaining:</t>
        </is>
      </c>
      <c r="C37" s="16">
        <f>C36-C35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Price-per-Unit Comparison</t>
        </is>
      </c>
    </row>
    <row r="2">
      <c r="A2" t="inlineStr">
        <is>
          <t>Compare products of different sizes — the cheapest sticker price isn't always the best deal.</t>
        </is>
      </c>
    </row>
    <row r="4">
      <c r="A4" s="8" t="inlineStr">
        <is>
          <t>Product</t>
        </is>
      </c>
      <c r="B4" s="8" t="inlineStr">
        <is>
          <t>Store/Brand</t>
        </is>
      </c>
      <c r="C4" s="8" t="inlineStr">
        <is>
          <t>Price</t>
        </is>
      </c>
      <c r="D4" s="8" t="inlineStr">
        <is>
          <t>Size (oz/lb/count)</t>
        </is>
      </c>
      <c r="E4" s="8" t="inlineStr">
        <is>
          <t>Price per unit</t>
        </is>
      </c>
    </row>
    <row r="5">
      <c r="A5" s="9" t="n"/>
      <c r="B5" s="9" t="n"/>
      <c r="C5" s="12" t="n"/>
      <c r="D5" s="18" t="n"/>
      <c r="E5" s="19">
        <f>IF(AND(C5&gt;0,D5&gt;0),C5/D5,"")</f>
        <v/>
      </c>
    </row>
    <row r="6">
      <c r="A6" s="9" t="n"/>
      <c r="B6" s="9" t="n"/>
      <c r="C6" s="12" t="n"/>
      <c r="D6" s="18" t="n"/>
      <c r="E6" s="19">
        <f>IF(AND(C6&gt;0,D6&gt;0),C6/D6,"")</f>
        <v/>
      </c>
    </row>
    <row r="7">
      <c r="A7" s="9" t="n"/>
      <c r="B7" s="9" t="n"/>
      <c r="C7" s="12" t="n"/>
      <c r="D7" s="18" t="n"/>
      <c r="E7" s="19">
        <f>IF(AND(C7&gt;0,D7&gt;0),C7/D7,"")</f>
        <v/>
      </c>
    </row>
    <row r="8">
      <c r="A8" s="9" t="n"/>
      <c r="B8" s="9" t="n"/>
      <c r="C8" s="12" t="n"/>
      <c r="D8" s="18" t="n"/>
      <c r="E8" s="19">
        <f>IF(AND(C8&gt;0,D8&gt;0),C8/D8,"")</f>
        <v/>
      </c>
    </row>
    <row r="9">
      <c r="A9" s="9" t="n"/>
      <c r="B9" s="9" t="n"/>
      <c r="C9" s="12" t="n"/>
      <c r="D9" s="18" t="n"/>
      <c r="E9" s="19">
        <f>IF(AND(C9&gt;0,D9&gt;0),C9/D9,"")</f>
        <v/>
      </c>
    </row>
    <row r="10">
      <c r="A10" s="9" t="n"/>
      <c r="B10" s="9" t="n"/>
      <c r="C10" s="12" t="n"/>
      <c r="D10" s="18" t="n"/>
      <c r="E10" s="19">
        <f>IF(AND(C10&gt;0,D10&gt;0),C10/D10,"")</f>
        <v/>
      </c>
    </row>
    <row r="11">
      <c r="A11" s="9" t="n"/>
      <c r="B11" s="9" t="n"/>
      <c r="C11" s="12" t="n"/>
      <c r="D11" s="18" t="n"/>
      <c r="E11" s="19">
        <f>IF(AND(C11&gt;0,D11&gt;0),C11/D11,"")</f>
        <v/>
      </c>
    </row>
    <row r="12">
      <c r="A12" s="9" t="n"/>
      <c r="B12" s="9" t="n"/>
      <c r="C12" s="12" t="n"/>
      <c r="D12" s="18" t="n"/>
      <c r="E12" s="19">
        <f>IF(AND(C12&gt;0,D12&gt;0),C12/D12,"")</f>
        <v/>
      </c>
    </row>
    <row r="13">
      <c r="A13" s="9" t="n"/>
      <c r="B13" s="9" t="n"/>
      <c r="C13" s="12" t="n"/>
      <c r="D13" s="18" t="n"/>
      <c r="E13" s="19">
        <f>IF(AND(C13&gt;0,D13&gt;0),C13/D13,"")</f>
        <v/>
      </c>
    </row>
    <row r="14">
      <c r="A14" s="9" t="n"/>
      <c r="B14" s="9" t="n"/>
      <c r="C14" s="12" t="n"/>
      <c r="D14" s="18" t="n"/>
      <c r="E14" s="19">
        <f>IF(AND(C14&gt;0,D14&gt;0),C14/D14,"")</f>
        <v/>
      </c>
    </row>
    <row r="15">
      <c r="A15" s="9" t="n"/>
      <c r="B15" s="9" t="n"/>
      <c r="C15" s="12" t="n"/>
      <c r="D15" s="18" t="n"/>
      <c r="E15" s="19">
        <f>IF(AND(C15&gt;0,D15&gt;0),C15/D15,"")</f>
        <v/>
      </c>
    </row>
    <row r="16">
      <c r="A16" s="9" t="n"/>
      <c r="B16" s="9" t="n"/>
      <c r="C16" s="12" t="n"/>
      <c r="D16" s="18" t="n"/>
      <c r="E16" s="19">
        <f>IF(AND(C16&gt;0,D16&gt;0),C16/D16,"")</f>
        <v/>
      </c>
    </row>
    <row r="17">
      <c r="A17" s="9" t="n"/>
      <c r="B17" s="9" t="n"/>
      <c r="C17" s="12" t="n"/>
      <c r="D17" s="18" t="n"/>
      <c r="E17" s="19">
        <f>IF(AND(C17&gt;0,D17&gt;0),C17/D17,"")</f>
        <v/>
      </c>
    </row>
    <row r="18">
      <c r="A18" s="9" t="n"/>
      <c r="B18" s="9" t="n"/>
      <c r="C18" s="12" t="n"/>
      <c r="D18" s="18" t="n"/>
      <c r="E18" s="19">
        <f>IF(AND(C18&gt;0,D18&gt;0),C18/D18,"")</f>
        <v/>
      </c>
    </row>
    <row r="19">
      <c r="A19" s="9" t="n"/>
      <c r="B19" s="9" t="n"/>
      <c r="C19" s="12" t="n"/>
      <c r="D19" s="18" t="n"/>
      <c r="E19" s="19">
        <f>IF(AND(C19&gt;0,D19&gt;0),C19/D19,"")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2026-09-25T05:00:31Z</dcterms:created>
  <dcterms:modified xmlns:dcterms="http://purl.org/dc/terms/" xmlns:xsi="http://www.w3.org/2001/XMLSchema-instance" xsi:type="dcterms:W3CDTF">2026-09-25T05:00:31Z</dcterms:modified>
</cp:coreProperties>
</file>